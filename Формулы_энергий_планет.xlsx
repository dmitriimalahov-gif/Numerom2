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ояснения" sheetId="1" r:id="rId1"/>
    <sheet name="Формулы" sheetId="2" r:id="rId2"/>
  </sheets>
  <calcPr calcId="124519" fullCalcOnLoad="1"/>
</workbook>
</file>

<file path=xl/sharedStrings.xml><?xml version="1.0" encoding="utf-8"?>
<sst xmlns="http://schemas.openxmlformats.org/spreadsheetml/2006/main" count="38" uniqueCount="38">
  <si>
    <t>Ячейка</t>
  </si>
  <si>
    <t>Параметр</t>
  </si>
  <si>
    <t>Описание / Формула</t>
  </si>
  <si>
    <t>B3</t>
  </si>
  <si>
    <t>B4</t>
  </si>
  <si>
    <t>B5</t>
  </si>
  <si>
    <t>B8</t>
  </si>
  <si>
    <t>B9</t>
  </si>
  <si>
    <t>Число Судьбы (ЧС)</t>
  </si>
  <si>
    <t>Число Имени (ЧИ)</t>
  </si>
  <si>
    <t>Персональный год (ПГ)</t>
  </si>
  <si>
    <t>Личный день (ЛД)</t>
  </si>
  <si>
    <t>Носитель дня недели (k_dow)</t>
  </si>
  <si>
    <t>Пн=2, Вт=9, Ср=5, Чт=3, Пт=6, Сб=8, Вс=1</t>
  </si>
  <si>
    <t>Планета (число)</t>
  </si>
  <si>
    <t>Формула A_k (родство с ЧС и ЧИ)</t>
  </si>
  <si>
    <t>Формула R_k (личный день)</t>
  </si>
  <si>
    <t>Формула C_k (день недели)</t>
  </si>
  <si>
    <t>Формула Score_k (итог)</t>
  </si>
  <si>
    <t>Комментарий</t>
  </si>
  <si>
    <t>1 – Солнце</t>
  </si>
  <si>
    <t>2 – Луна</t>
  </si>
  <si>
    <t>3 – Юпитер</t>
  </si>
  <si>
    <t>4 – Раху</t>
  </si>
  <si>
    <t>5 – Меркурий</t>
  </si>
  <si>
    <t>6 – Венера</t>
  </si>
  <si>
    <t>7 – Кету</t>
  </si>
  <si>
    <t>8 – Сатурн</t>
  </si>
  <si>
    <t>9 – Марс</t>
  </si>
  <si>
    <t>Лидерство, уверенность</t>
  </si>
  <si>
    <t>Эмоции, мягкость</t>
  </si>
  <si>
    <t>Мудрость, обучение</t>
  </si>
  <si>
    <t>Системность, преобразования</t>
  </si>
  <si>
    <t>Интеллект, коммуникации</t>
  </si>
  <si>
    <t>Любовь, гармония</t>
  </si>
  <si>
    <t>Интуиция, глубина</t>
  </si>
  <si>
    <t>Дисциплина, структура</t>
  </si>
  <si>
    <t>Сила, действие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</si>
</sst>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f>DR(ДЕНЬ+МЕСЯЦ+ГОД)</f>
        <v>0</v>
      </c>
    </row>
    <row r="3" spans="1:3">
      <c r="A3" t="s">
        <v>4</v>
      </c>
      <c r="B3" t="s">
        <v>9</v>
      </c>
      <c r="C3">
        <f>DR(сумма чисел имени)</f>
        <v>0</v>
      </c>
    </row>
    <row r="4" spans="1:3">
      <c r="A4" t="s">
        <v>5</v>
      </c>
      <c r="B4" t="s">
        <v>10</v>
      </c>
      <c r="C4">
        <f>DR(ДЕНЬ_Р+МЕСЯЦ_Р+DR(ТЕКУЩИЙ_ГОД))</f>
        <v>0</v>
      </c>
    </row>
    <row r="5" spans="1:3">
      <c r="A5" t="s">
        <v>6</v>
      </c>
      <c r="B5" t="s">
        <v>11</v>
      </c>
      <c r="C5">
        <f>DR(ПГ+МЕСЯЦ_ДАТЫ+ДЕНЬ_ДАТЫ)</f>
        <v>0</v>
      </c>
    </row>
    <row r="6" spans="1:3">
      <c r="A6" t="s">
        <v>7</v>
      </c>
      <c r="B6" t="s">
        <v>12</v>
      </c>
      <c r="C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f>MIN(1,1*(1=$B$3)+0.7*(1=$B$4)+0.3*АДЖ(1,$B$3)+0.2*АДЖ(1,$B$4))</f>
        <v>0</v>
      </c>
      <c r="C2">
        <f>MIN(1,1*(1=$B$8)+0.5*АДЖ(1,$B$8))</f>
        <v>0</v>
      </c>
      <c r="D2">
        <f>ЕСЛИ(1=$B$9;1;0)</f>
        <v>0</v>
      </c>
      <c r="E2">
        <f>ОКРУГЛ(100*(0.5*C2+0.3*C3+0.2*C4);0)</f>
        <v>0</v>
      </c>
      <c r="F2" t="s">
        <v>29</v>
      </c>
    </row>
    <row r="3" spans="1:6">
      <c r="A3" t="s">
        <v>21</v>
      </c>
      <c r="B3">
        <f>MIN(1,1*(2=$B$3)+0.7*(2=$B$4)+0.3*АДЖ(2,$B$3)+0.2*АДЖ(2,$B$4))</f>
        <v>0</v>
      </c>
      <c r="C3">
        <f>MIN(1,1*(2=$B$8)+0.5*АДЖ(2,$B$8))</f>
        <v>0</v>
      </c>
      <c r="D3">
        <f>ЕСЛИ(2=$B$9;1;0)</f>
        <v>0</v>
      </c>
      <c r="E3">
        <f>ОКРУГЛ(100*(0.5*C2+0.3*C3+0.2*C4);0)</f>
        <v>0</v>
      </c>
      <c r="F3" t="s">
        <v>30</v>
      </c>
    </row>
    <row r="4" spans="1:6">
      <c r="A4" t="s">
        <v>22</v>
      </c>
      <c r="B4">
        <f>MIN(1,1*(3=$B$3)+0.7*(3=$B$4)+0.3*АДЖ(3,$B$3)+0.2*АДЖ(3,$B$4))</f>
        <v>0</v>
      </c>
      <c r="C4">
        <f>MIN(1,1*(3=$B$8)+0.5*АДЖ(3,$B$8))</f>
        <v>0</v>
      </c>
      <c r="D4">
        <f>ЕСЛИ(3=$B$9;1;0)</f>
        <v>0</v>
      </c>
      <c r="E4">
        <f>ОКРУГЛ(100*(0.5*C2+0.3*C3+0.2*C4);0)</f>
        <v>0</v>
      </c>
      <c r="F4" t="s">
        <v>31</v>
      </c>
    </row>
    <row r="5" spans="1:6">
      <c r="A5" t="s">
        <v>23</v>
      </c>
      <c r="B5">
        <f>MIN(1,1*(4=$B$3)+0.7*(4=$B$4)+0.3*АДЖ(4,$B$3)+0.2*АДЖ(4,$B$4))</f>
        <v>0</v>
      </c>
      <c r="C5">
        <f>MIN(1,1*(4=$B$8)+0.5*АДЖ(4,$B$8))</f>
        <v>0</v>
      </c>
      <c r="D5">
        <f>ЕСЛИ(4=$B$9;1;0)</f>
        <v>0</v>
      </c>
      <c r="E5">
        <f>ОКРУГЛ(100*(0.5*C2+0.3*C3+0.2*C4);0)</f>
        <v>0</v>
      </c>
      <c r="F5" t="s">
        <v>32</v>
      </c>
    </row>
    <row r="6" spans="1:6">
      <c r="A6" t="s">
        <v>24</v>
      </c>
      <c r="B6">
        <f>MIN(1,1*(5=$B$3)+0.7*(5=$B$4)+0.3*АДЖ(5,$B$3)+0.2*АДЖ(5,$B$4))</f>
        <v>0</v>
      </c>
      <c r="C6">
        <f>MIN(1,1*(5=$B$8)+0.5*АДЖ(5,$B$8))</f>
        <v>0</v>
      </c>
      <c r="D6">
        <f>ЕСЛИ(5=$B$9;1;0)</f>
        <v>0</v>
      </c>
      <c r="E6">
        <f>ОКРУГЛ(100*(0.5*C2+0.3*C3+0.2*C4);0)</f>
        <v>0</v>
      </c>
      <c r="F6" t="s">
        <v>33</v>
      </c>
    </row>
    <row r="7" spans="1:6">
      <c r="A7" t="s">
        <v>25</v>
      </c>
      <c r="B7">
        <f>MIN(1,1*(6=$B$3)+0.7*(6=$B$4)+0.3*АДЖ(6,$B$3)+0.2*АДЖ(6,$B$4))</f>
        <v>0</v>
      </c>
      <c r="C7">
        <f>MIN(1,1*(6=$B$8)+0.5*АДЖ(6,$B$8))</f>
        <v>0</v>
      </c>
      <c r="D7">
        <f>ЕСЛИ(6=$B$9;1;0)</f>
        <v>0</v>
      </c>
      <c r="E7">
        <f>ОКРУГЛ(100*(0.5*C2+0.3*C3+0.2*C4);0)</f>
        <v>0</v>
      </c>
      <c r="F7" t="s">
        <v>34</v>
      </c>
    </row>
    <row r="8" spans="1:6">
      <c r="A8" t="s">
        <v>26</v>
      </c>
      <c r="B8">
        <f>MIN(1,1*(7=$B$3)+0.7*(7=$B$4)+0.3*АДЖ(7,$B$3)+0.2*АДЖ(7,$B$4))</f>
        <v>0</v>
      </c>
      <c r="C8">
        <f>MIN(1,1*(7=$B$8)+0.5*АДЖ(7,$B$8))</f>
        <v>0</v>
      </c>
      <c r="D8">
        <f>ЕСЛИ(7=$B$9;1;0)</f>
        <v>0</v>
      </c>
      <c r="E8">
        <f>ОКРУГЛ(100*(0.5*C2+0.3*C3+0.2*C4);0)</f>
        <v>0</v>
      </c>
      <c r="F8" t="s">
        <v>35</v>
      </c>
    </row>
    <row r="9" spans="1:6">
      <c r="A9" t="s">
        <v>27</v>
      </c>
      <c r="B9">
        <f>MIN(1,1*(8=$B$3)+0.7*(8=$B$4)+0.3*АДЖ(8,$B$3)+0.2*АДЖ(8,$B$4))</f>
        <v>0</v>
      </c>
      <c r="C9">
        <f>MIN(1,1*(8=$B$8)+0.5*АДЖ(8,$B$8))</f>
        <v>0</v>
      </c>
      <c r="D9">
        <f>ЕСЛИ(8=$B$9;1;0)</f>
        <v>0</v>
      </c>
      <c r="E9">
        <f>ОКРУГЛ(100*(0.5*C2+0.3*C3+0.2*C4);0)</f>
        <v>0</v>
      </c>
      <c r="F9" t="s">
        <v>36</v>
      </c>
    </row>
    <row r="10" spans="1:6">
      <c r="A10" t="s">
        <v>28</v>
      </c>
      <c r="B10">
        <f>MIN(1,1*(9=$B$3)+0.7*(9=$B$4)+0.3*АДЖ(9,$B$3)+0.2*АДЖ(9,$B$4))</f>
        <v>0</v>
      </c>
      <c r="C10">
        <f>MIN(1,1*(9=$B$8)+0.5*АДЖ(9,$B$8))</f>
        <v>0</v>
      </c>
      <c r="D10">
        <f>ЕСЛИ(9=$B$9;1;0)</f>
        <v>0</v>
      </c>
      <c r="E10">
        <f>ОКРУГЛ(100*(0.5*C2+0.3*C3+0.2*C4);0)</f>
        <v>0</v>
      </c>
      <c r="F10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Пояснения</vt:lpstr>
      <vt:lpstr>Формулы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2025-11-08T11:24:00Z</dcterms:created>
  <dcterms:modified xsi:type="dcterms:W3CDTF">2025-11-08T11:24:00Z</dcterms:modified>
</cp:coreProperties>
</file>